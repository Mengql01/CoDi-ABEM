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sers\86159\Desktop\VAV\"/>
    </mc:Choice>
  </mc:AlternateContent>
  <xr:revisionPtr revIDLastSave="0" documentId="13_ncr:1_{2C06A6D7-15D6-4BCC-91DC-4A0E7850629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5" i="1" l="1"/>
  <c r="Q11" i="1"/>
  <c r="Q12" i="1"/>
  <c r="H22" i="1"/>
  <c r="G21" i="1"/>
</calcChain>
</file>

<file path=xl/sharedStrings.xml><?xml version="1.0" encoding="utf-8"?>
<sst xmlns="http://schemas.openxmlformats.org/spreadsheetml/2006/main" count="16" uniqueCount="16">
  <si>
    <t>面积</t>
    <phoneticPr fontId="1" type="noConversion"/>
  </si>
  <si>
    <t>（1970+1625）/2=1797</t>
    <phoneticPr fontId="1" type="noConversion"/>
  </si>
  <si>
    <t>中庭1</t>
    <phoneticPr fontId="1" type="noConversion"/>
  </si>
  <si>
    <t>中庭2</t>
  </si>
  <si>
    <t>中庭3</t>
  </si>
  <si>
    <t>中庭4</t>
  </si>
  <si>
    <t>中庭5</t>
  </si>
  <si>
    <t>中庭6</t>
  </si>
  <si>
    <t>中庭7</t>
  </si>
  <si>
    <t>中庭8</t>
  </si>
  <si>
    <t>中庭9</t>
  </si>
  <si>
    <t>中庭10</t>
  </si>
  <si>
    <t>中庭11</t>
  </si>
  <si>
    <t>中庭12</t>
  </si>
  <si>
    <t>bh</t>
    <phoneticPr fontId="1" type="noConversion"/>
  </si>
  <si>
    <t>ah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</si>
</sst>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Q23"/>
  <sheetViews>
    <sheetView tabSelected="1" topLeftCell="B1" zoomScaleNormal="100" workbookViewId="0">
      <selection activeCell="J5" sqref="J5"/>
    </sheetView>
  </sheetViews>
  <sheetFormatPr defaultRowHeight="14" x14ac:dyDescent="0.3"/>
  <sheetData>
    <row r="6" spans="3:17" x14ac:dyDescent="0.3">
      <c r="G6" s="4" t="s">
        <v>0</v>
      </c>
      <c r="H6" s="4"/>
    </row>
    <row r="7" spans="3:17" x14ac:dyDescent="0.3">
      <c r="C7" s="4" t="s">
        <v>2</v>
      </c>
      <c r="D7" s="4"/>
      <c r="E7" s="2">
        <v>7</v>
      </c>
      <c r="F7" s="2">
        <v>8</v>
      </c>
      <c r="G7">
        <v>1679</v>
      </c>
      <c r="H7">
        <v>1629</v>
      </c>
    </row>
    <row r="8" spans="3:17" x14ac:dyDescent="0.3">
      <c r="C8" s="4" t="s">
        <v>3</v>
      </c>
      <c r="D8" s="4"/>
      <c r="E8" s="2">
        <v>9</v>
      </c>
      <c r="F8" s="2">
        <v>10</v>
      </c>
      <c r="G8">
        <v>1907</v>
      </c>
      <c r="H8">
        <v>1673</v>
      </c>
    </row>
    <row r="9" spans="3:17" x14ac:dyDescent="0.3">
      <c r="C9" s="4" t="s">
        <v>4</v>
      </c>
      <c r="D9" s="4"/>
      <c r="E9" s="2">
        <v>11</v>
      </c>
      <c r="F9" s="2">
        <v>12</v>
      </c>
      <c r="G9">
        <v>1927</v>
      </c>
      <c r="H9">
        <v>1671</v>
      </c>
    </row>
    <row r="10" spans="3:17" x14ac:dyDescent="0.3">
      <c r="C10" s="4" t="s">
        <v>5</v>
      </c>
      <c r="D10" s="4"/>
      <c r="E10" s="2">
        <v>13</v>
      </c>
      <c r="F10" s="2">
        <v>14</v>
      </c>
      <c r="G10">
        <v>1948</v>
      </c>
      <c r="H10">
        <v>1697</v>
      </c>
    </row>
    <row r="11" spans="3:17" x14ac:dyDescent="0.3">
      <c r="C11" s="4" t="s">
        <v>6</v>
      </c>
      <c r="D11" s="4"/>
      <c r="E11" s="2">
        <v>15</v>
      </c>
      <c r="F11" s="2">
        <v>16</v>
      </c>
      <c r="G11" s="3">
        <v>1970</v>
      </c>
      <c r="H11">
        <v>1694</v>
      </c>
      <c r="L11" t="s">
        <v>15</v>
      </c>
      <c r="M11">
        <v>0.35</v>
      </c>
      <c r="N11">
        <v>0.41</v>
      </c>
      <c r="O11">
        <v>0.36</v>
      </c>
      <c r="P11">
        <v>0.32</v>
      </c>
      <c r="Q11">
        <f>SUM(M11:P11)/4</f>
        <v>0.36000000000000004</v>
      </c>
    </row>
    <row r="12" spans="3:17" x14ac:dyDescent="0.3">
      <c r="C12" s="4"/>
      <c r="D12" s="4"/>
      <c r="E12" s="1">
        <v>17</v>
      </c>
      <c r="F12" s="1"/>
      <c r="G12">
        <v>1952</v>
      </c>
      <c r="L12" t="s">
        <v>14</v>
      </c>
      <c r="M12">
        <v>-0.73</v>
      </c>
      <c r="N12">
        <v>-0.72</v>
      </c>
      <c r="O12">
        <v>-0.72</v>
      </c>
      <c r="P12">
        <v>-0.61</v>
      </c>
      <c r="Q12">
        <f>SUM(M12:P12)/4</f>
        <v>-0.69499999999999995</v>
      </c>
    </row>
    <row r="13" spans="3:17" x14ac:dyDescent="0.3">
      <c r="C13" s="4" t="s">
        <v>7</v>
      </c>
      <c r="D13" s="4"/>
      <c r="E13" s="2">
        <v>18</v>
      </c>
      <c r="F13" s="2">
        <v>19</v>
      </c>
      <c r="G13">
        <v>1669</v>
      </c>
      <c r="H13">
        <v>1661</v>
      </c>
    </row>
    <row r="14" spans="3:17" x14ac:dyDescent="0.3">
      <c r="C14" s="4" t="s">
        <v>8</v>
      </c>
      <c r="D14" s="4"/>
      <c r="E14" s="2">
        <v>20</v>
      </c>
      <c r="F14" s="2">
        <v>21</v>
      </c>
      <c r="G14">
        <v>1924</v>
      </c>
      <c r="H14">
        <v>1643</v>
      </c>
    </row>
    <row r="15" spans="3:17" x14ac:dyDescent="0.3">
      <c r="C15" s="4" t="s">
        <v>9</v>
      </c>
      <c r="D15" s="4"/>
      <c r="E15" s="2">
        <v>22</v>
      </c>
      <c r="F15" s="2">
        <v>23</v>
      </c>
      <c r="G15">
        <v>1907</v>
      </c>
      <c r="H15" s="3">
        <v>1625</v>
      </c>
      <c r="P15">
        <f>0.36*(800/3780)*(800/3780)-0.695*(800/3780)+1</f>
        <v>0.86903502141597377</v>
      </c>
    </row>
    <row r="16" spans="3:17" x14ac:dyDescent="0.3">
      <c r="C16" s="4" t="s">
        <v>10</v>
      </c>
      <c r="D16" s="4"/>
      <c r="E16" s="2">
        <v>24</v>
      </c>
      <c r="F16" s="2">
        <v>25</v>
      </c>
      <c r="G16">
        <v>1889</v>
      </c>
      <c r="H16">
        <v>1607</v>
      </c>
    </row>
    <row r="17" spans="3:8" x14ac:dyDescent="0.3">
      <c r="C17" s="4" t="s">
        <v>11</v>
      </c>
      <c r="D17" s="4"/>
      <c r="E17" s="2">
        <v>26</v>
      </c>
      <c r="F17" s="2">
        <v>27</v>
      </c>
      <c r="G17">
        <v>1871</v>
      </c>
      <c r="H17">
        <v>1589</v>
      </c>
    </row>
    <row r="18" spans="3:8" x14ac:dyDescent="0.3">
      <c r="C18" s="4" t="s">
        <v>12</v>
      </c>
      <c r="D18" s="4"/>
      <c r="E18" s="2">
        <v>28</v>
      </c>
      <c r="F18" s="2">
        <v>29</v>
      </c>
      <c r="G18">
        <v>1853</v>
      </c>
      <c r="H18">
        <v>1569</v>
      </c>
    </row>
    <row r="19" spans="3:8" x14ac:dyDescent="0.3">
      <c r="C19" s="4" t="s">
        <v>13</v>
      </c>
      <c r="D19" s="4"/>
      <c r="E19" s="1">
        <v>30</v>
      </c>
      <c r="F19" s="1"/>
      <c r="G19">
        <v>1560</v>
      </c>
    </row>
    <row r="21" spans="3:8" x14ac:dyDescent="0.3">
      <c r="G21">
        <f>SUM(G7:H19)</f>
        <v>42114</v>
      </c>
    </row>
    <row r="22" spans="3:8" x14ac:dyDescent="0.3">
      <c r="G22">
        <v>42114</v>
      </c>
      <c r="H22">
        <f>G22/24</f>
        <v>1754.75</v>
      </c>
    </row>
    <row r="23" spans="3:8" x14ac:dyDescent="0.3">
      <c r="H23" s="3" t="s">
        <v>1</v>
      </c>
    </row>
  </sheetData>
  <mergeCells count="14">
    <mergeCell ref="G6:H6"/>
    <mergeCell ref="C7:D7"/>
    <mergeCell ref="C8:D8"/>
    <mergeCell ref="C9:D9"/>
    <mergeCell ref="C10:D10"/>
    <mergeCell ref="C16:D16"/>
    <mergeCell ref="C17:D17"/>
    <mergeCell ref="C18:D18"/>
    <mergeCell ref="C19:D19"/>
    <mergeCell ref="C11:D11"/>
    <mergeCell ref="C12:D12"/>
    <mergeCell ref="C13:D13"/>
    <mergeCell ref="C14:D14"/>
    <mergeCell ref="C15:D15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 w</dc:creator>
  <cp:lastModifiedBy>ya w</cp:lastModifiedBy>
  <dcterms:created xsi:type="dcterms:W3CDTF">2015-06-05T18:19:34Z</dcterms:created>
  <dcterms:modified xsi:type="dcterms:W3CDTF">2022-06-05T14:57:11Z</dcterms:modified>
</cp:coreProperties>
</file>